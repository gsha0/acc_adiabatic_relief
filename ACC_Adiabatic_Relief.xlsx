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WEATHER_DATA" sheetId="2" state="visible" r:id="rId2"/>
    <sheet name="LOAD_DATA" sheetId="3" state="visible" r:id="rId3"/>
    <sheet name="SIMULATION" sheetId="4" state="visible" r:id="rId4"/>
    <sheet name="MONTHLY_SUMMARY" sheetId="5" state="visible" r:id="rId5"/>
    <sheet name="ANNUAL_SUMMARY" sheetId="6" state="visible" r:id="rId6"/>
  </sheets>
  <definedNames>
    <definedName name="N_CHILLERS">'INPUTS'!$B$4</definedName>
    <definedName name="Q_RAT_KW">'INPUTS'!$B$5</definedName>
    <definedName name="COP_RAT">'INPUTS'!$B$6</definedName>
    <definedName name="T_LET_RAT">'INPUTS'!$B$7</definedName>
    <definedName name="T_LET_DES">'INPUTS'!$B$8</definedName>
    <definedName name="T_ODB_RAT">'INPUTS'!$B$9</definedName>
    <definedName name="FAN_POWER_KW">'INPUTS'!$B$10</definedName>
    <definedName name="T_SWITCH">'INPUTS'!$B$13</definedName>
    <definedName name="ETA_SAT">'INPUTS'!$B$14</definedName>
    <definedName name="COND_INLET_T_OFFSET">'INPUTS'!$B$15</definedName>
    <definedName name="PLR_MIN">'INPUTS'!$B$18</definedName>
    <definedName name="PLR_MIN_CALC">'INPUTS'!$B$19</definedName>
    <definedName name="COP_MAX">'INPUTS'!$B$20</definedName>
    <definedName name="CAP_C00">'INPUTS'!$B$24</definedName>
    <definedName name="CAP_C10">'INPUTS'!$C$24</definedName>
    <definedName name="CAP_C20">'INPUTS'!$D$24</definedName>
    <definedName name="CAP_C01">'INPUTS'!$E$24</definedName>
    <definedName name="CAP_C02">'INPUTS'!$F$24</definedName>
    <definedName name="CAP_C11">'INPUTS'!$G$24</definedName>
    <definedName name="EIR_C00">'INPUTS'!$B$25</definedName>
    <definedName name="EIR_C10">'INPUTS'!$C$25</definedName>
    <definedName name="EIR_C20">'INPUTS'!$D$25</definedName>
    <definedName name="EIR_C01">'INPUTS'!$E$25</definedName>
    <definedName name="EIR_C02">'INPUTS'!$F$25</definedName>
    <definedName name="EIR_C11">'INPUTS'!$G$25</definedName>
    <definedName name="PT_C00">'INPUTS'!$B$26</definedName>
    <definedName name="PT_C10">'INPUTS'!$C$26</definedName>
    <definedName name="PT_C20">'INPUTS'!$D$26</definedName>
    <definedName name="PT_C01">'INPUTS'!$E$26</definedName>
    <definedName name="PT_C02">'INPUTS'!$F$26</definedName>
    <definedName name="PT_C11">'INPUTS'!$G$26</definedName>
    <definedName name="EIR_RAT">'INPUTS'!$B$29</definedName>
    <definedName name="dT_RAT">'INPUTS'!$B$30</definedName>
    <definedName name="C_NORM_CAP">'INPUTS'!$B$31</definedName>
    <definedName name="C_NORM_EIR">'INPUTS'!$B$32</definedName>
    <definedName name="C_NORM_PT">'INPUTS'!$B$33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0.000000"/>
    <numFmt numFmtId="166" formatCode="0.0"/>
    <numFmt numFmtId="167" formatCode="0.0000"/>
    <numFmt numFmtId="168" formatCode="0.000"/>
    <numFmt numFmtId="169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595959"/>
      <sz val="9"/>
    </font>
    <font>
      <name val="Calibri"/>
      <i val="1"/>
      <color rgb="00FF0000"/>
      <sz val="9"/>
    </font>
    <font>
      <name val="Calibri"/>
      <b val="1"/>
      <color rgb="001F3864"/>
      <sz val="9"/>
    </font>
    <font>
      <name val="Calibri"/>
      <sz val="10"/>
    </font>
    <font>
      <name val="Calibri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BF3E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165" fontId="5" fillId="5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6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8" fillId="6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9" fillId="0" borderId="0" pivotButton="0" quotePrefix="0" xfId="0"/>
    <xf numFmtId="2" fontId="9" fillId="0" borderId="0" pivotButton="0" quotePrefix="0" xfId="0"/>
    <xf numFmtId="166" fontId="9" fillId="0" borderId="0" pivotButton="0" quotePrefix="0" xfId="0"/>
    <xf numFmtId="167" fontId="9" fillId="0" borderId="0" pivotButton="0" quotePrefix="0" xfId="0"/>
    <xf numFmtId="168" fontId="9" fillId="0" borderId="0" pivotButton="0" quotePrefix="0" xfId="0"/>
    <xf numFmtId="1" fontId="9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6" fontId="5" fillId="3" borderId="0" pivotButton="0" quotePrefix="0" xfId="0"/>
    <xf numFmtId="169" fontId="5" fillId="3" borderId="0" pivotButton="0" quotePrefix="0" xfId="0"/>
    <xf numFmtId="1" fontId="5" fillId="3" borderId="0" pivotButton="0" quotePrefix="0" xfId="0"/>
    <xf numFmtId="168" fontId="5" fillId="3" borderId="0" pivotButton="0" quotePrefix="0" xfId="0"/>
    <xf numFmtId="166" fontId="5" fillId="0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right" vertical="center"/>
    </xf>
    <xf numFmtId="1" fontId="5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 ht="28" customHeight="1">
      <c r="A1" s="1" t="inlineStr">
        <is>
          <t>ACC Adiabatic Relief — Simulation Inputs</t>
        </is>
      </c>
    </row>
    <row r="2">
      <c r="A2" s="2" t="inlineStr">
        <is>
          <t>A  PLANT CONFIGURATION</t>
        </is>
      </c>
      <c r="B2" s="3" t="n"/>
      <c r="C2" s="3" t="n"/>
    </row>
    <row r="3">
      <c r="A3" s="4" t="inlineStr">
        <is>
          <t>Parameter</t>
        </is>
      </c>
      <c r="B3" s="5" t="inlineStr">
        <is>
          <t>Value</t>
        </is>
      </c>
      <c r="C3" s="5" t="inlineStr">
        <is>
          <t>Notes</t>
        </is>
      </c>
    </row>
    <row r="4">
      <c r="A4" s="6" t="inlineStr">
        <is>
          <t>N_CHILLERS</t>
        </is>
      </c>
      <c r="B4" s="7" t="n">
        <v>9</v>
      </c>
      <c r="C4" s="8" t="inlineStr">
        <is>
          <t>Number of identical chillers in plant</t>
        </is>
      </c>
    </row>
    <row r="5">
      <c r="A5" s="6" t="inlineStr">
        <is>
          <t>Q_RAT_KW</t>
        </is>
      </c>
      <c r="B5" s="7" t="n">
        <v>2200</v>
      </c>
      <c r="C5" s="8" t="inlineStr">
        <is>
          <t>Rated cooling capacity per chiller (kW)</t>
        </is>
      </c>
    </row>
    <row r="6">
      <c r="A6" s="6" t="inlineStr">
        <is>
          <t>COP_RAT</t>
        </is>
      </c>
      <c r="B6" s="7" t="n">
        <v>4.8</v>
      </c>
      <c r="C6" s="8" t="inlineStr">
        <is>
          <t>Rated COP at rated conditions</t>
        </is>
      </c>
    </row>
    <row r="7">
      <c r="A7" s="6" t="inlineStr">
        <is>
          <t>T_LET_RAT</t>
        </is>
      </c>
      <c r="B7" s="7" t="n">
        <v>24</v>
      </c>
      <c r="C7" s="8" t="inlineStr">
        <is>
          <t>Rated leaving evaporator temp — curve normalisation only (°C)</t>
        </is>
      </c>
    </row>
    <row r="8">
      <c r="A8" s="6" t="inlineStr">
        <is>
          <t>T_LET_DES</t>
        </is>
      </c>
      <c r="B8" s="7" t="n">
        <v>24</v>
      </c>
      <c r="C8" s="8" t="inlineStr">
        <is>
          <t>Operating CHW supply setpoint used in simulation (°C)</t>
        </is>
      </c>
    </row>
    <row r="9">
      <c r="A9" s="6" t="inlineStr">
        <is>
          <t>T_ODB_RAT</t>
        </is>
      </c>
      <c r="B9" s="7" t="n">
        <v>32</v>
      </c>
      <c r="C9" s="8" t="inlineStr">
        <is>
          <t>Rated outdoor dry-bulb temp (°C)</t>
        </is>
      </c>
    </row>
    <row r="10">
      <c r="A10" s="6" t="inlineStr">
        <is>
          <t>FAN_POWER_KW</t>
        </is>
      </c>
      <c r="B10" s="7" t="n">
        <v>0</v>
      </c>
      <c r="C10" s="8" t="inlineStr">
        <is>
          <t>Condenser fan power per chiller — embedded in EIR, typically 0 (kW)</t>
        </is>
      </c>
    </row>
    <row r="12">
      <c r="A12" s="2" t="inlineStr">
        <is>
          <t>B  ADIABATIC RELIEF PARAMETERS</t>
        </is>
      </c>
      <c r="B12" s="3" t="n"/>
      <c r="C12" s="3" t="n"/>
    </row>
    <row r="13">
      <c r="A13" s="6" t="inlineStr">
        <is>
          <t>T_SWITCH</t>
        </is>
      </c>
      <c r="B13" s="7" t="n">
        <v>31</v>
      </c>
      <c r="C13" s="8" t="inlineStr">
        <is>
          <t>Pad activation threshold — pads ON when T_odb strictly &gt; this (°C)</t>
        </is>
      </c>
    </row>
    <row r="14">
      <c r="A14" s="6" t="inlineStr">
        <is>
          <t>ETA_SAT</t>
        </is>
      </c>
      <c r="B14" s="7" t="n">
        <v>0.78</v>
      </c>
      <c r="C14" s="8" t="inlineStr">
        <is>
          <t>Pad saturation efficiency (0–1); typical 0.65–0.80</t>
        </is>
      </c>
    </row>
    <row r="15">
      <c r="A15" s="6" t="inlineStr">
        <is>
          <t>COND_INLET_T_OFFSET</t>
        </is>
      </c>
      <c r="B15" s="7" t="n">
        <v>5</v>
      </c>
      <c r="C15" s="8" t="inlineStr">
        <is>
          <t>Heat recirculation offset added after pad cooling (°C); 0 for open installation</t>
        </is>
      </c>
    </row>
    <row r="17">
      <c r="A17" s="2" t="inlineStr">
        <is>
          <t>C  OPERATING LIMITS</t>
        </is>
      </c>
      <c r="B17" s="3" t="n"/>
      <c r="C17" s="3" t="n"/>
    </row>
    <row r="18">
      <c r="A18" s="6" t="inlineStr">
        <is>
          <t>PLR_MIN</t>
        </is>
      </c>
      <c r="B18" s="7" t="n">
        <v>0.1</v>
      </c>
      <c r="C18" s="8" t="inlineStr">
        <is>
          <t>Min PLR threshold — hours below this are flagged (no cutoff applied)</t>
        </is>
      </c>
    </row>
    <row r="19">
      <c r="A19" s="6" t="inlineStr">
        <is>
          <t>PLR_MIN_CALC</t>
        </is>
      </c>
      <c r="B19" s="7" t="n">
        <v>0.8</v>
      </c>
      <c r="C19" s="8" t="inlineStr">
        <is>
          <t>Min PLR used in EIR part-load curve evaluation</t>
        </is>
      </c>
    </row>
    <row r="20">
      <c r="A20" s="6" t="inlineStr">
        <is>
          <t>COP_MAX</t>
        </is>
      </c>
      <c r="B20" s="7" t="n">
        <v>30</v>
      </c>
      <c r="C20" s="8" t="inlineStr">
        <is>
          <t>Hard COP ceiling (enforced as EIR floor = 1/COP_MAX)</t>
        </is>
      </c>
    </row>
    <row r="22">
      <c r="A22" s="2" t="inlineStr">
        <is>
          <t>D  BI-QUADRATIC CURVE COEFFICIENTS</t>
        </is>
      </c>
      <c r="B22" s="3" t="n"/>
      <c r="C22" s="3" t="n"/>
    </row>
    <row r="23">
      <c r="A23" s="5" t="inlineStr">
        <is>
          <t>Curve</t>
        </is>
      </c>
      <c r="B23" s="9" t="inlineStr">
        <is>
          <t>C00</t>
        </is>
      </c>
      <c r="C23" s="9" t="inlineStr">
        <is>
          <t>C10</t>
        </is>
      </c>
      <c r="D23" s="9" t="inlineStr">
        <is>
          <t>C20</t>
        </is>
      </c>
      <c r="E23" s="9" t="inlineStr">
        <is>
          <t>C01</t>
        </is>
      </c>
      <c r="F23" s="9" t="inlineStr">
        <is>
          <t>C02</t>
        </is>
      </c>
      <c r="G23" s="9" t="inlineStr">
        <is>
          <t>C11</t>
        </is>
      </c>
      <c r="H23" s="5" t="inlineStr">
        <is>
          <t>Notes</t>
        </is>
      </c>
    </row>
    <row r="24">
      <c r="A24" s="10" t="inlineStr">
        <is>
          <t>CAP_FTT — Capacity vs (T_let, T_odb)</t>
        </is>
      </c>
      <c r="B24" s="11" t="n">
        <v>1.28968664</v>
      </c>
      <c r="C24" s="11" t="n">
        <v>0</v>
      </c>
      <c r="D24" s="11" t="n">
        <v>0.0008606</v>
      </c>
      <c r="E24" s="11" t="n">
        <v>0</v>
      </c>
      <c r="F24" s="11" t="n">
        <v>-0.00136091</v>
      </c>
      <c r="G24" s="11" t="n">
        <v>0.00208111</v>
      </c>
      <c r="H24" s="12" t="inlineStr">
        <is>
          <t>x = T_let (°C), y = T_odb / T_chiller_inlet (°C)</t>
        </is>
      </c>
    </row>
    <row r="25">
      <c r="A25" s="10" t="inlineStr">
        <is>
          <t>EIR_FTT — EIR vs (T_let, T_odb)</t>
        </is>
      </c>
      <c r="B25" s="11" t="n">
        <v>0.27625998</v>
      </c>
      <c r="C25" s="11" t="n">
        <v>0</v>
      </c>
      <c r="D25" s="11" t="n">
        <v>-0.00047595</v>
      </c>
      <c r="E25" s="11" t="n">
        <v>0</v>
      </c>
      <c r="F25" s="11" t="n">
        <v>0.00106207</v>
      </c>
      <c r="G25" s="11" t="n">
        <v>-0.00011086</v>
      </c>
      <c r="H25" s="12" t="inlineStr">
        <is>
          <t>x = T_let (°C), y = T_odb / T_chiller_inlet (°C)</t>
        </is>
      </c>
    </row>
    <row r="26">
      <c r="A26" s="10" t="inlineStr">
        <is>
          <t>EIR_FPT — EIR vs (PLR, T_odb − T_let)</t>
        </is>
      </c>
      <c r="B26" s="11" t="n">
        <v>0.00144273</v>
      </c>
      <c r="C26" s="11" t="n">
        <v>0.34459557</v>
      </c>
      <c r="D26" s="11" t="n">
        <v>0.66002771</v>
      </c>
      <c r="E26" s="11" t="n">
        <v>0.00080729</v>
      </c>
      <c r="F26" s="11" t="n">
        <v>-5.261e-05</v>
      </c>
      <c r="G26" s="11" t="n">
        <v>-0.00117824</v>
      </c>
      <c r="H26" s="12" t="inlineStr">
        <is>
          <t>x = PLR, y = T_chiller_inlet − T_let (°C)</t>
        </is>
      </c>
    </row>
    <row r="28">
      <c r="A28" s="2" t="inlineStr">
        <is>
          <t>E  NORMALISATION CONSTANTS  (auto-calculated — do not edit)</t>
        </is>
      </c>
      <c r="B28" s="3" t="n"/>
      <c r="C28" s="3" t="n"/>
    </row>
    <row r="29">
      <c r="A29" s="10" t="inlineStr">
        <is>
          <t>EIR_RAT</t>
        </is>
      </c>
      <c r="B29" s="13">
        <f>1/COP_RAT</f>
        <v/>
      </c>
      <c r="C29" s="12" t="inlineStr">
        <is>
          <t>Rated EIR = 1 / COP_RAT</t>
        </is>
      </c>
    </row>
    <row r="30">
      <c r="A30" s="10" t="inlineStr">
        <is>
          <t>dT_RAT</t>
        </is>
      </c>
      <c r="B30" s="13">
        <f>T_ODB_RAT-T_LET_RAT</f>
        <v/>
      </c>
      <c r="C30" s="12" t="inlineStr">
        <is>
          <t>Rated condenser-evap temperature difference</t>
        </is>
      </c>
    </row>
    <row r="31">
      <c r="A31" s="10" t="inlineStr">
        <is>
          <t>C_NORM_CAP</t>
        </is>
      </c>
      <c r="B31" s="13">
        <f>CAP_C00+CAP_C10*T_LET_RAT+CAP_C20*T_LET_RAT^2+CAP_C01*T_ODB_RAT+CAP_C02*T_ODB_RAT^2+CAP_C11*T_LET_RAT*T_ODB_RAT</f>
        <v/>
      </c>
      <c r="C31" s="12" t="inlineStr">
        <is>
          <t>CAP_FTT evaluated at rated conditions (should ≈ C_NORM_CAP itself — verify ~1.0 before C_NORM division)</t>
        </is>
      </c>
    </row>
    <row r="32">
      <c r="A32" s="10" t="inlineStr">
        <is>
          <t>C_NORM_EIR</t>
        </is>
      </c>
      <c r="B32" s="13">
        <f>EIR_C00+EIR_C10*T_LET_RAT+EIR_C20*T_LET_RAT^2+EIR_C01*T_ODB_RAT+EIR_C02*T_ODB_RAT^2+EIR_C11*T_LET_RAT*T_ODB_RAT</f>
        <v/>
      </c>
      <c r="C32" s="12" t="inlineStr">
        <is>
          <t>EIR_FTT evaluated at rated conditions</t>
        </is>
      </c>
    </row>
    <row r="33">
      <c r="A33" s="10" t="inlineStr">
        <is>
          <t>C_NORM_PT</t>
        </is>
      </c>
      <c r="B33" s="13">
        <f>PT_C00+PT_C10*1+PT_C20*1^2+PT_C01*dT_RAT+PT_C02*dT_RAT^2+PT_C11*1*dT_RAT</f>
        <v/>
      </c>
      <c r="C33" s="12" t="inlineStr">
        <is>
          <t>EIR_FPT evaluated at PLR=1, dT=dT_RAT</t>
        </is>
      </c>
    </row>
  </sheetData>
  <mergeCells count="1">
    <mergeCell ref="A1:C1"/>
  </mergeCells>
  <conditionalFormatting sqref="B31:B33">
    <cfRule type="cellIs" priority="1" operator="lessThanOr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</cols>
  <sheetData>
    <row r="1">
      <c r="A1" s="10" t="inlineStr"/>
      <c r="B1" s="10" t="inlineStr"/>
      <c r="C1" s="9" t="inlineStr">
        <is>
          <t>Dry-bulb temperature (°C)</t>
        </is>
      </c>
      <c r="D1" s="9" t="inlineStr">
        <is>
          <t>Wet-bulb temperature (°C)</t>
        </is>
      </c>
    </row>
    <row r="2">
      <c r="C2" s="12" t="inlineStr">
        <is>
          <t>&lt;paste EPW filename here&gt;</t>
        </is>
      </c>
      <c r="D2" s="12" t="inlineStr">
        <is>
          <t>&lt;paste EPW filename here&gt;</t>
        </is>
      </c>
    </row>
    <row r="3">
      <c r="A3" s="14" t="inlineStr">
        <is>
          <t>Date</t>
        </is>
      </c>
      <c r="B3" s="14" t="inlineStr">
        <is>
          <t>Time</t>
        </is>
      </c>
      <c r="C3" s="14" t="inlineStr">
        <is>
          <t>T_odb_C</t>
        </is>
      </c>
      <c r="D3" s="14" t="inlineStr">
        <is>
          <t>T_wb_C</t>
        </is>
      </c>
    </row>
    <row r="4">
      <c r="A4" s="15" t="inlineStr">
        <is>
          <t>← Paste IES VistaPro weather export here (DBT &amp; WBT columns only, 8,760 rows from row 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</cols>
  <sheetData>
    <row r="1">
      <c r="C1" s="9" t="inlineStr">
        <is>
          <t>CHWL total load (kW)</t>
        </is>
      </c>
    </row>
    <row r="2">
      <c r="C2" s="12" t="inlineStr">
        <is>
          <t>&lt;paste circuit/loop name here&gt;</t>
        </is>
      </c>
    </row>
    <row r="3">
      <c r="A3" s="14" t="inlineStr">
        <is>
          <t>Date</t>
        </is>
      </c>
      <c r="B3" s="14" t="inlineStr">
        <is>
          <t>Time</t>
        </is>
      </c>
      <c r="C3" s="14" t="inlineStr">
        <is>
          <t>Q_plant_kW</t>
        </is>
      </c>
    </row>
    <row r="4">
      <c r="A4" s="15" t="inlineStr">
        <is>
          <t>← Paste IES VistaPro CHWL load export here (column C, 8,760 rows from row 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5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6" t="inlineStr">
        <is>
          <t>Index</t>
        </is>
      </c>
      <c r="B1" s="17" t="inlineStr">
        <is>
          <t>Weather</t>
        </is>
      </c>
      <c r="E1" s="18" t="inlineStr">
        <is>
          <t>Adiabatic</t>
        </is>
      </c>
      <c r="J1" s="19" t="inlineStr">
        <is>
          <t>Demand</t>
        </is>
      </c>
      <c r="K1" s="20" t="inlineStr">
        <is>
          <t>Chiller — Adiabatic</t>
        </is>
      </c>
      <c r="W1" s="21" t="inlineStr">
        <is>
          <t>Chiller — Dry Baseline</t>
        </is>
      </c>
      <c r="AH1" s="22" t="inlineStr">
        <is>
          <t>Plant Totals</t>
        </is>
      </c>
      <c r="AL1" s="20" t="inlineStr">
        <is>
          <t>Energy &amp; Savings</t>
        </is>
      </c>
      <c r="AP1" s="23" t="inlineStr">
        <is>
          <t>Flags</t>
        </is>
      </c>
      <c r="AR1" s="16" t="inlineStr">
        <is>
          <t>Helper</t>
        </is>
      </c>
    </row>
    <row r="2">
      <c r="A2" s="24" t="n"/>
      <c r="B2" s="25" t="n"/>
      <c r="C2" s="25" t="n"/>
      <c r="D2" s="25" t="n"/>
      <c r="E2" s="26" t="n"/>
      <c r="F2" s="26" t="n"/>
      <c r="G2" s="26" t="n"/>
      <c r="H2" s="26" t="n"/>
      <c r="I2" s="26" t="n"/>
      <c r="J2" s="27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9" t="n"/>
      <c r="X2" s="29" t="n"/>
      <c r="Y2" s="29" t="n"/>
      <c r="Z2" s="29" t="n"/>
      <c r="AA2" s="29" t="n"/>
      <c r="AB2" s="29" t="n"/>
      <c r="AC2" s="29" t="n"/>
      <c r="AD2" s="29" t="n"/>
      <c r="AE2" s="29" t="n"/>
      <c r="AF2" s="29" t="n"/>
      <c r="AG2" s="29" t="n"/>
      <c r="AH2" s="30" t="n"/>
      <c r="AI2" s="30" t="n"/>
      <c r="AJ2" s="30" t="n"/>
      <c r="AK2" s="30" t="n"/>
      <c r="AL2" s="28" t="n"/>
      <c r="AM2" s="28" t="n"/>
      <c r="AN2" s="28" t="n"/>
      <c r="AO2" s="28" t="n"/>
      <c r="AP2" s="31" t="n"/>
      <c r="AQ2" s="31" t="n"/>
      <c r="AR2" s="24" t="n"/>
    </row>
    <row r="3" ht="40" customHeight="1">
      <c r="A3" s="32" t="inlineStr">
        <is>
          <t>Hour</t>
        </is>
      </c>
      <c r="B3" s="33" t="inlineStr">
        <is>
          <t>T_odb_C</t>
        </is>
      </c>
      <c r="C3" s="33" t="inlineStr">
        <is>
          <t>T_wb_C</t>
        </is>
      </c>
      <c r="D3" s="33" t="inlineStr">
        <is>
          <t>Q_plant_demand_kW</t>
        </is>
      </c>
      <c r="E3" s="34" t="inlineStr">
        <is>
          <t>adiabatic_active</t>
        </is>
      </c>
      <c r="F3" s="34" t="inlineStr">
        <is>
          <t>T_odb_eff_C</t>
        </is>
      </c>
      <c r="G3" s="34" t="inlineStr">
        <is>
          <t>T_depression_C</t>
        </is>
      </c>
      <c r="H3" s="34" t="inlineStr">
        <is>
          <t>T_chiller_inlet_C</t>
        </is>
      </c>
      <c r="I3" s="34" t="inlineStr">
        <is>
          <t>T_dry_inlet_C</t>
        </is>
      </c>
      <c r="J3" s="35" t="inlineStr">
        <is>
          <t>Q_chiller_demand_kW</t>
        </is>
      </c>
      <c r="K3" s="36" t="inlineStr">
        <is>
          <t>fCAPtt_adi</t>
        </is>
      </c>
      <c r="L3" s="36" t="inlineStr">
        <is>
          <t>Q_cap_chiller_adi</t>
        </is>
      </c>
      <c r="M3" s="36" t="inlineStr">
        <is>
          <t>Q_served_adi</t>
        </is>
      </c>
      <c r="N3" s="36" t="inlineStr">
        <is>
          <t>Q_unmet_adi</t>
        </is>
      </c>
      <c r="O3" s="36" t="inlineStr">
        <is>
          <t>PLR_adi</t>
        </is>
      </c>
      <c r="P3" s="36" t="inlineStr">
        <is>
          <t>PLR_calc_adi</t>
        </is>
      </c>
      <c r="Q3" s="36" t="inlineStr">
        <is>
          <t>fEIRtt_adi</t>
        </is>
      </c>
      <c r="R3" s="36" t="inlineStr">
        <is>
          <t>dT_adi</t>
        </is>
      </c>
      <c r="S3" s="36" t="inlineStr">
        <is>
          <t>fEIRpt_adi</t>
        </is>
      </c>
      <c r="T3" s="36" t="inlineStr">
        <is>
          <t>EIR_adi</t>
        </is>
      </c>
      <c r="U3" s="36" t="inlineStr">
        <is>
          <t>COP_adi</t>
        </is>
      </c>
      <c r="V3" s="36" t="inlineStr">
        <is>
          <t>P_plant_adi_kW</t>
        </is>
      </c>
      <c r="W3" s="37" t="inlineStr">
        <is>
          <t>fCAPtt_dry</t>
        </is>
      </c>
      <c r="X3" s="37" t="inlineStr">
        <is>
          <t>Q_cap_chiller_dry</t>
        </is>
      </c>
      <c r="Y3" s="37" t="inlineStr">
        <is>
          <t>Q_served_dry</t>
        </is>
      </c>
      <c r="Z3" s="37" t="inlineStr">
        <is>
          <t>PLR_dry</t>
        </is>
      </c>
      <c r="AA3" s="37" t="inlineStr">
        <is>
          <t>PLR_calc_dry</t>
        </is>
      </c>
      <c r="AB3" s="37" t="inlineStr">
        <is>
          <t>fEIRtt_dry</t>
        </is>
      </c>
      <c r="AC3" s="37" t="inlineStr">
        <is>
          <t>dT_dry</t>
        </is>
      </c>
      <c r="AD3" s="37" t="inlineStr">
        <is>
          <t>fEIRpt_dry</t>
        </is>
      </c>
      <c r="AE3" s="37" t="inlineStr">
        <is>
          <t>EIR_dry</t>
        </is>
      </c>
      <c r="AF3" s="37" t="inlineStr">
        <is>
          <t>COP_dry</t>
        </is>
      </c>
      <c r="AG3" s="37" t="inlineStr">
        <is>
          <t>P_plant_dry_kW</t>
        </is>
      </c>
      <c r="AH3" s="38" t="inlineStr">
        <is>
          <t>Q_plant_cap_adi_kW</t>
        </is>
      </c>
      <c r="AI3" s="38" t="inlineStr">
        <is>
          <t>Q_plant_cap_dry_kW</t>
        </is>
      </c>
      <c r="AJ3" s="38" t="inlineStr">
        <is>
          <t>Q_plant_served_kW</t>
        </is>
      </c>
      <c r="AK3" s="38" t="inlineStr">
        <is>
          <t>Q_plant_unmet_kW</t>
        </is>
      </c>
      <c r="AL3" s="36" t="inlineStr">
        <is>
          <t>P_saving_kW</t>
        </is>
      </c>
      <c r="AM3" s="36" t="inlineStr">
        <is>
          <t>E_plant_adi_kWh</t>
        </is>
      </c>
      <c r="AN3" s="36" t="inlineStr">
        <is>
          <t>E_plant_dry_kWh</t>
        </is>
      </c>
      <c r="AO3" s="36" t="inlineStr">
        <is>
          <t>E_saving_kWh</t>
        </is>
      </c>
      <c r="AP3" s="39" t="inlineStr">
        <is>
          <t>over_capacity_flag</t>
        </is>
      </c>
      <c r="AQ3" s="39" t="inlineStr">
        <is>
          <t>low_PLR_flag</t>
        </is>
      </c>
      <c r="AR3" s="32" t="inlineStr">
        <is>
          <t>month_num</t>
        </is>
      </c>
    </row>
    <row r="4">
      <c r="A4" s="40">
        <f>ROW()-3</f>
        <v/>
      </c>
      <c r="B4" s="41">
        <f>WEATHER_DATA!C4</f>
        <v/>
      </c>
      <c r="C4" s="41">
        <f>WEATHER_DATA!D4</f>
        <v/>
      </c>
      <c r="D4" s="42">
        <f>LOAD_DATA!C4</f>
        <v/>
      </c>
      <c r="E4" s="40">
        <f>IF(B4&gt;T_SWITCH,TRUE,FALSE)</f>
        <v/>
      </c>
      <c r="F4" s="41">
        <f>IF(E4,MAX(C4,B4-ETA_SAT*(B4-C4)),B4)</f>
        <v/>
      </c>
      <c r="G4" s="41">
        <f>B4-F4</f>
        <v/>
      </c>
      <c r="H4" s="41">
        <f>F4+COND_INLET_T_OFFSET</f>
        <v/>
      </c>
      <c r="I4" s="41">
        <f>B4+COND_INLET_T_OFFSET</f>
        <v/>
      </c>
      <c r="J4" s="42">
        <f>IF(D4&gt;0,D4/N_CHILLERS,0)</f>
        <v/>
      </c>
      <c r="K4" s="43">
        <f>(CAP_C00+CAP_C10*T_LET_DES+CAP_C20*T_LET_DES^2+CAP_C01*H4+CAP_C02*H4^2+CAP_C11*T_LET_DES*H4)/C_NORM_CAP</f>
        <v/>
      </c>
      <c r="L4" s="42">
        <f>Q_RAT_KW*K4</f>
        <v/>
      </c>
      <c r="M4" s="42">
        <f>IF(J4&gt;0,MIN(J4,L4),0)</f>
        <v/>
      </c>
      <c r="N4" s="42">
        <f>IF(J4&gt;0,MAX(0,J4-L4),0)</f>
        <v/>
      </c>
      <c r="O4" s="43">
        <f>IF(L4&gt;0,M4/L4,0)</f>
        <v/>
      </c>
      <c r="P4" s="43">
        <f>IF(O4&gt;0,MAX(O4,PLR_MIN_CALC),0)</f>
        <v/>
      </c>
      <c r="Q4" s="43">
        <f>(EIR_C00+EIR_C10*T_LET_DES+EIR_C20*T_LET_DES^2+EIR_C01*H4+EIR_C02*H4^2+EIR_C11*T_LET_DES*H4)/C_NORM_EIR</f>
        <v/>
      </c>
      <c r="R4" s="41">
        <f>H4-T_LET_DES</f>
        <v/>
      </c>
      <c r="S4" s="43">
        <f>(PT_C00+PT_C10*P4+PT_C20*P4^2+PT_C01*R4+PT_C02*R4^2+PT_C11*P4*R4)/C_NORM_PT</f>
        <v/>
      </c>
      <c r="T4" s="43">
        <f>IF(O4&gt;0,MAX(1/COP_MAX,EIR_RAT*Q4*S4),0)</f>
        <v/>
      </c>
      <c r="U4" s="44">
        <f>IF(T4&gt;0,1/T4,0)</f>
        <v/>
      </c>
      <c r="V4" s="42">
        <f>M4*T4*N_CHILLERS</f>
        <v/>
      </c>
      <c r="W4" s="43">
        <f>(CAP_C00+CAP_C10*T_LET_DES+CAP_C20*T_LET_DES^2+CAP_C01*I4+CAP_C02*I4^2+CAP_C11*T_LET_DES*I4)/C_NORM_CAP</f>
        <v/>
      </c>
      <c r="X4" s="42">
        <f>Q_RAT_KW*W4</f>
        <v/>
      </c>
      <c r="Y4" s="42">
        <f>IF(J4&gt;0,MIN(J4,X4),0)</f>
        <v/>
      </c>
      <c r="Z4" s="43">
        <f>IF(X4&gt;0,Y4/X4,0)</f>
        <v/>
      </c>
      <c r="AA4" s="43">
        <f>IF(Z4&gt;0,MAX(Z4,PLR_MIN_CALC),0)</f>
        <v/>
      </c>
      <c r="AB4" s="43">
        <f>(EIR_C00+EIR_C10*T_LET_DES+EIR_C20*T_LET_DES^2+EIR_C01*I4+EIR_C02*I4^2+EIR_C11*T_LET_DES*I4)/C_NORM_EIR</f>
        <v/>
      </c>
      <c r="AC4" s="41">
        <f>I4-T_LET_DES</f>
        <v/>
      </c>
      <c r="AD4" s="43">
        <f>(PT_C00+PT_C10*AA4+PT_C20*AA4^2+PT_C01*AC4+PT_C02*AC4^2+PT_C11*AA4*AC4)/C_NORM_PT</f>
        <v/>
      </c>
      <c r="AE4" s="43">
        <f>IF(Z4&gt;0,MAX(1/COP_MAX,EIR_RAT*AB4*AD4),0)</f>
        <v/>
      </c>
      <c r="AF4" s="44">
        <f>IF(AE4&gt;0,1/AE4,0)</f>
        <v/>
      </c>
      <c r="AG4" s="42">
        <f>Y4*AE4*N_CHILLERS</f>
        <v/>
      </c>
      <c r="AH4" s="42">
        <f>L4*N_CHILLERS</f>
        <v/>
      </c>
      <c r="AI4" s="42">
        <f>X4*N_CHILLERS</f>
        <v/>
      </c>
      <c r="AJ4" s="42">
        <f>M4*N_CHILLERS</f>
        <v/>
      </c>
      <c r="AK4" s="42">
        <f>N4*N_CHILLERS</f>
        <v/>
      </c>
      <c r="AL4" s="42">
        <f>AG4-V4</f>
        <v/>
      </c>
      <c r="AM4" s="42">
        <f>V4</f>
        <v/>
      </c>
      <c r="AN4" s="42">
        <f>AG4</f>
        <v/>
      </c>
      <c r="AO4" s="42">
        <f>AL4</f>
        <v/>
      </c>
      <c r="AP4" s="40">
        <f>IF(J4&gt;L4,TRUE,FALSE)</f>
        <v/>
      </c>
      <c r="AQ4" s="40">
        <f>IF(AND(O4&gt;0,O4&lt;PLR_MIN),TRUE,FALSE)</f>
        <v/>
      </c>
      <c r="AR4" s="45">
        <f>MONTH(DATE(2025,1,1)+(A4-1)/24)</f>
        <v/>
      </c>
    </row>
    <row r="5">
      <c r="A5" s="15" t="inlineStr">
        <is>
          <t>↑ Select row 4 (all columns A:AR), then drag fill handle down to row 8763 (8,760 hours)</t>
        </is>
      </c>
    </row>
  </sheetData>
  <mergeCells count="7">
    <mergeCell ref="AH1:AK1"/>
    <mergeCell ref="K1:V1"/>
    <mergeCell ref="AL1:AO1"/>
    <mergeCell ref="B1:D1"/>
    <mergeCell ref="E1:I1"/>
    <mergeCell ref="AP1:AQ1"/>
    <mergeCell ref="W1:A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46" t="inlineStr">
        <is>
          <t>Monthly Summary</t>
        </is>
      </c>
    </row>
    <row r="3" ht="36" customHeight="1">
      <c r="A3" s="9" t="inlineStr">
        <is>
          <t>Month</t>
        </is>
      </c>
      <c r="B3" s="9" t="inlineStr">
        <is>
          <t>Month#</t>
        </is>
      </c>
      <c r="C3" s="9" t="inlineStr">
        <is>
          <t>E_adi_MWh</t>
        </is>
      </c>
      <c r="D3" s="9" t="inlineStr">
        <is>
          <t>E_dry_MWh</t>
        </is>
      </c>
      <c r="E3" s="9" t="inlineStr">
        <is>
          <t>E_saving_MWh</t>
        </is>
      </c>
      <c r="F3" s="9" t="inlineStr">
        <is>
          <t>Saving_%</t>
        </is>
      </c>
      <c r="G3" s="9" t="inlineStr">
        <is>
          <t>Adi_hrs</t>
        </is>
      </c>
      <c r="H3" s="9" t="inlineStr">
        <is>
          <t>Avg_COP_adi</t>
        </is>
      </c>
      <c r="I3" s="9" t="inlineStr">
        <is>
          <t>Avg_COP_dry</t>
        </is>
      </c>
      <c r="J3" s="9" t="inlineStr">
        <is>
          <t>Q_served_MWh</t>
        </is>
      </c>
      <c r="K3" s="9" t="inlineStr">
        <is>
          <t>Q_unmet_kWh</t>
        </is>
      </c>
      <c r="L3" s="9" t="inlineStr">
        <is>
          <t>Avg_PLR_adi</t>
        </is>
      </c>
    </row>
    <row r="4">
      <c r="A4" s="47" t="inlineStr">
        <is>
          <t>Jan</t>
        </is>
      </c>
      <c r="B4" s="48" t="n">
        <v>1</v>
      </c>
      <c r="C4" s="49">
        <f>SUMIF(SIMULATION!AR:AR,B4,SIMULATION!AM:AM)/1000</f>
        <v/>
      </c>
      <c r="D4" s="49">
        <f>SUMIF(SIMULATION!AR:AR,B4,SIMULATION!AN:AN)/1000</f>
        <v/>
      </c>
      <c r="E4" s="49">
        <f>SUMIF(SIMULATION!AR:AR,B4,SIMULATION!AO:AO)/1000</f>
        <v/>
      </c>
      <c r="F4" s="50">
        <f>IFERROR(E4/D4,0)</f>
        <v/>
      </c>
      <c r="G4" s="51">
        <f>COUNTIFS(SIMULATION!AR:AR,B4,SIMULATION!E:E,TRUE)</f>
        <v/>
      </c>
      <c r="H4" s="52">
        <f>IFERROR(AVERAGEIFS(SIMULATION!U:U,SIMULATION!AR:AR,B4,SIMULATION!U:U,"&gt;"&amp;0),0)</f>
        <v/>
      </c>
      <c r="I4" s="52">
        <f>IFERROR(AVERAGEIFS(SIMULATION!AF:AF,SIMULATION!AR:AR,B4,SIMULATION!AF:AF,"&gt;"&amp;0),0)</f>
        <v/>
      </c>
      <c r="J4" s="49">
        <f>SUMIF(SIMULATION!AR:AR,B4,SIMULATION!AJ:AJ)/1000</f>
        <v/>
      </c>
      <c r="K4" s="49">
        <f>SUMIF(SIMULATION!AR:AR,B4,SIMULATION!AK:AK)</f>
        <v/>
      </c>
      <c r="L4" s="52">
        <f>IFERROR(AVERAGEIFS(SIMULATION!O:O,SIMULATION!AR:AR,B4,SIMULATION!O:O,"&gt;"&amp;0),0)</f>
        <v/>
      </c>
    </row>
    <row r="5">
      <c r="A5" s="47" t="inlineStr">
        <is>
          <t>Feb</t>
        </is>
      </c>
      <c r="B5" s="48" t="n">
        <v>2</v>
      </c>
      <c r="C5" s="49">
        <f>SUMIF(SIMULATION!AR:AR,B5,SIMULATION!AM:AM)/1000</f>
        <v/>
      </c>
      <c r="D5" s="49">
        <f>SUMIF(SIMULATION!AR:AR,B5,SIMULATION!AN:AN)/1000</f>
        <v/>
      </c>
      <c r="E5" s="49">
        <f>SUMIF(SIMULATION!AR:AR,B5,SIMULATION!AO:AO)/1000</f>
        <v/>
      </c>
      <c r="F5" s="50">
        <f>IFERROR(E5/D5,0)</f>
        <v/>
      </c>
      <c r="G5" s="51">
        <f>COUNTIFS(SIMULATION!AR:AR,B5,SIMULATION!E:E,TRUE)</f>
        <v/>
      </c>
      <c r="H5" s="52">
        <f>IFERROR(AVERAGEIFS(SIMULATION!U:U,SIMULATION!AR:AR,B5,SIMULATION!U:U,"&gt;"&amp;0),0)</f>
        <v/>
      </c>
      <c r="I5" s="52">
        <f>IFERROR(AVERAGEIFS(SIMULATION!AF:AF,SIMULATION!AR:AR,B5,SIMULATION!AF:AF,"&gt;"&amp;0),0)</f>
        <v/>
      </c>
      <c r="J5" s="49">
        <f>SUMIF(SIMULATION!AR:AR,B5,SIMULATION!AJ:AJ)/1000</f>
        <v/>
      </c>
      <c r="K5" s="49">
        <f>SUMIF(SIMULATION!AR:AR,B5,SIMULATION!AK:AK)</f>
        <v/>
      </c>
      <c r="L5" s="52">
        <f>IFERROR(AVERAGEIFS(SIMULATION!O:O,SIMULATION!AR:AR,B5,SIMULATION!O:O,"&gt;"&amp;0),0)</f>
        <v/>
      </c>
    </row>
    <row r="6">
      <c r="A6" s="47" t="inlineStr">
        <is>
          <t>Mar</t>
        </is>
      </c>
      <c r="B6" s="48" t="n">
        <v>3</v>
      </c>
      <c r="C6" s="49">
        <f>SUMIF(SIMULATION!AR:AR,B6,SIMULATION!AM:AM)/1000</f>
        <v/>
      </c>
      <c r="D6" s="49">
        <f>SUMIF(SIMULATION!AR:AR,B6,SIMULATION!AN:AN)/1000</f>
        <v/>
      </c>
      <c r="E6" s="49">
        <f>SUMIF(SIMULATION!AR:AR,B6,SIMULATION!AO:AO)/1000</f>
        <v/>
      </c>
      <c r="F6" s="50">
        <f>IFERROR(E6/D6,0)</f>
        <v/>
      </c>
      <c r="G6" s="51">
        <f>COUNTIFS(SIMULATION!AR:AR,B6,SIMULATION!E:E,TRUE)</f>
        <v/>
      </c>
      <c r="H6" s="52">
        <f>IFERROR(AVERAGEIFS(SIMULATION!U:U,SIMULATION!AR:AR,B6,SIMULATION!U:U,"&gt;"&amp;0),0)</f>
        <v/>
      </c>
      <c r="I6" s="52">
        <f>IFERROR(AVERAGEIFS(SIMULATION!AF:AF,SIMULATION!AR:AR,B6,SIMULATION!AF:AF,"&gt;"&amp;0),0)</f>
        <v/>
      </c>
      <c r="J6" s="49">
        <f>SUMIF(SIMULATION!AR:AR,B6,SIMULATION!AJ:AJ)/1000</f>
        <v/>
      </c>
      <c r="K6" s="49">
        <f>SUMIF(SIMULATION!AR:AR,B6,SIMULATION!AK:AK)</f>
        <v/>
      </c>
      <c r="L6" s="52">
        <f>IFERROR(AVERAGEIFS(SIMULATION!O:O,SIMULATION!AR:AR,B6,SIMULATION!O:O,"&gt;"&amp;0),0)</f>
        <v/>
      </c>
    </row>
    <row r="7">
      <c r="A7" s="47" t="inlineStr">
        <is>
          <t>Apr</t>
        </is>
      </c>
      <c r="B7" s="48" t="n">
        <v>4</v>
      </c>
      <c r="C7" s="49">
        <f>SUMIF(SIMULATION!AR:AR,B7,SIMULATION!AM:AM)/1000</f>
        <v/>
      </c>
      <c r="D7" s="49">
        <f>SUMIF(SIMULATION!AR:AR,B7,SIMULATION!AN:AN)/1000</f>
        <v/>
      </c>
      <c r="E7" s="49">
        <f>SUMIF(SIMULATION!AR:AR,B7,SIMULATION!AO:AO)/1000</f>
        <v/>
      </c>
      <c r="F7" s="50">
        <f>IFERROR(E7/D7,0)</f>
        <v/>
      </c>
      <c r="G7" s="51">
        <f>COUNTIFS(SIMULATION!AR:AR,B7,SIMULATION!E:E,TRUE)</f>
        <v/>
      </c>
      <c r="H7" s="52">
        <f>IFERROR(AVERAGEIFS(SIMULATION!U:U,SIMULATION!AR:AR,B7,SIMULATION!U:U,"&gt;"&amp;0),0)</f>
        <v/>
      </c>
      <c r="I7" s="52">
        <f>IFERROR(AVERAGEIFS(SIMULATION!AF:AF,SIMULATION!AR:AR,B7,SIMULATION!AF:AF,"&gt;"&amp;0),0)</f>
        <v/>
      </c>
      <c r="J7" s="49">
        <f>SUMIF(SIMULATION!AR:AR,B7,SIMULATION!AJ:AJ)/1000</f>
        <v/>
      </c>
      <c r="K7" s="49">
        <f>SUMIF(SIMULATION!AR:AR,B7,SIMULATION!AK:AK)</f>
        <v/>
      </c>
      <c r="L7" s="52">
        <f>IFERROR(AVERAGEIFS(SIMULATION!O:O,SIMULATION!AR:AR,B7,SIMULATION!O:O,"&gt;"&amp;0),0)</f>
        <v/>
      </c>
    </row>
    <row r="8">
      <c r="A8" s="47" t="inlineStr">
        <is>
          <t>May</t>
        </is>
      </c>
      <c r="B8" s="48" t="n">
        <v>5</v>
      </c>
      <c r="C8" s="49">
        <f>SUMIF(SIMULATION!AR:AR,B8,SIMULATION!AM:AM)/1000</f>
        <v/>
      </c>
      <c r="D8" s="49">
        <f>SUMIF(SIMULATION!AR:AR,B8,SIMULATION!AN:AN)/1000</f>
        <v/>
      </c>
      <c r="E8" s="49">
        <f>SUMIF(SIMULATION!AR:AR,B8,SIMULATION!AO:AO)/1000</f>
        <v/>
      </c>
      <c r="F8" s="50">
        <f>IFERROR(E8/D8,0)</f>
        <v/>
      </c>
      <c r="G8" s="51">
        <f>COUNTIFS(SIMULATION!AR:AR,B8,SIMULATION!E:E,TRUE)</f>
        <v/>
      </c>
      <c r="H8" s="52">
        <f>IFERROR(AVERAGEIFS(SIMULATION!U:U,SIMULATION!AR:AR,B8,SIMULATION!U:U,"&gt;"&amp;0),0)</f>
        <v/>
      </c>
      <c r="I8" s="52">
        <f>IFERROR(AVERAGEIFS(SIMULATION!AF:AF,SIMULATION!AR:AR,B8,SIMULATION!AF:AF,"&gt;"&amp;0),0)</f>
        <v/>
      </c>
      <c r="J8" s="49">
        <f>SUMIF(SIMULATION!AR:AR,B8,SIMULATION!AJ:AJ)/1000</f>
        <v/>
      </c>
      <c r="K8" s="49">
        <f>SUMIF(SIMULATION!AR:AR,B8,SIMULATION!AK:AK)</f>
        <v/>
      </c>
      <c r="L8" s="52">
        <f>IFERROR(AVERAGEIFS(SIMULATION!O:O,SIMULATION!AR:AR,B8,SIMULATION!O:O,"&gt;"&amp;0),0)</f>
        <v/>
      </c>
    </row>
    <row r="9">
      <c r="A9" s="47" t="inlineStr">
        <is>
          <t>Jun</t>
        </is>
      </c>
      <c r="B9" s="48" t="n">
        <v>6</v>
      </c>
      <c r="C9" s="49">
        <f>SUMIF(SIMULATION!AR:AR,B9,SIMULATION!AM:AM)/1000</f>
        <v/>
      </c>
      <c r="D9" s="49">
        <f>SUMIF(SIMULATION!AR:AR,B9,SIMULATION!AN:AN)/1000</f>
        <v/>
      </c>
      <c r="E9" s="49">
        <f>SUMIF(SIMULATION!AR:AR,B9,SIMULATION!AO:AO)/1000</f>
        <v/>
      </c>
      <c r="F9" s="50">
        <f>IFERROR(E9/D9,0)</f>
        <v/>
      </c>
      <c r="G9" s="51">
        <f>COUNTIFS(SIMULATION!AR:AR,B9,SIMULATION!E:E,TRUE)</f>
        <v/>
      </c>
      <c r="H9" s="52">
        <f>IFERROR(AVERAGEIFS(SIMULATION!U:U,SIMULATION!AR:AR,B9,SIMULATION!U:U,"&gt;"&amp;0),0)</f>
        <v/>
      </c>
      <c r="I9" s="52">
        <f>IFERROR(AVERAGEIFS(SIMULATION!AF:AF,SIMULATION!AR:AR,B9,SIMULATION!AF:AF,"&gt;"&amp;0),0)</f>
        <v/>
      </c>
      <c r="J9" s="49">
        <f>SUMIF(SIMULATION!AR:AR,B9,SIMULATION!AJ:AJ)/1000</f>
        <v/>
      </c>
      <c r="K9" s="49">
        <f>SUMIF(SIMULATION!AR:AR,B9,SIMULATION!AK:AK)</f>
        <v/>
      </c>
      <c r="L9" s="52">
        <f>IFERROR(AVERAGEIFS(SIMULATION!O:O,SIMULATION!AR:AR,B9,SIMULATION!O:O,"&gt;"&amp;0),0)</f>
        <v/>
      </c>
    </row>
    <row r="10">
      <c r="A10" s="47" t="inlineStr">
        <is>
          <t>Jul</t>
        </is>
      </c>
      <c r="B10" s="48" t="n">
        <v>7</v>
      </c>
      <c r="C10" s="49">
        <f>SUMIF(SIMULATION!AR:AR,B10,SIMULATION!AM:AM)/1000</f>
        <v/>
      </c>
      <c r="D10" s="49">
        <f>SUMIF(SIMULATION!AR:AR,B10,SIMULATION!AN:AN)/1000</f>
        <v/>
      </c>
      <c r="E10" s="49">
        <f>SUMIF(SIMULATION!AR:AR,B10,SIMULATION!AO:AO)/1000</f>
        <v/>
      </c>
      <c r="F10" s="50">
        <f>IFERROR(E10/D10,0)</f>
        <v/>
      </c>
      <c r="G10" s="51">
        <f>COUNTIFS(SIMULATION!AR:AR,B10,SIMULATION!E:E,TRUE)</f>
        <v/>
      </c>
      <c r="H10" s="52">
        <f>IFERROR(AVERAGEIFS(SIMULATION!U:U,SIMULATION!AR:AR,B10,SIMULATION!U:U,"&gt;"&amp;0),0)</f>
        <v/>
      </c>
      <c r="I10" s="52">
        <f>IFERROR(AVERAGEIFS(SIMULATION!AF:AF,SIMULATION!AR:AR,B10,SIMULATION!AF:AF,"&gt;"&amp;0),0)</f>
        <v/>
      </c>
      <c r="J10" s="49">
        <f>SUMIF(SIMULATION!AR:AR,B10,SIMULATION!AJ:AJ)/1000</f>
        <v/>
      </c>
      <c r="K10" s="49">
        <f>SUMIF(SIMULATION!AR:AR,B10,SIMULATION!AK:AK)</f>
        <v/>
      </c>
      <c r="L10" s="52">
        <f>IFERROR(AVERAGEIFS(SIMULATION!O:O,SIMULATION!AR:AR,B10,SIMULATION!O:O,"&gt;"&amp;0),0)</f>
        <v/>
      </c>
    </row>
    <row r="11">
      <c r="A11" s="47" t="inlineStr">
        <is>
          <t>Aug</t>
        </is>
      </c>
      <c r="B11" s="48" t="n">
        <v>8</v>
      </c>
      <c r="C11" s="49">
        <f>SUMIF(SIMULATION!AR:AR,B11,SIMULATION!AM:AM)/1000</f>
        <v/>
      </c>
      <c r="D11" s="49">
        <f>SUMIF(SIMULATION!AR:AR,B11,SIMULATION!AN:AN)/1000</f>
        <v/>
      </c>
      <c r="E11" s="49">
        <f>SUMIF(SIMULATION!AR:AR,B11,SIMULATION!AO:AO)/1000</f>
        <v/>
      </c>
      <c r="F11" s="50">
        <f>IFERROR(E11/D11,0)</f>
        <v/>
      </c>
      <c r="G11" s="51">
        <f>COUNTIFS(SIMULATION!AR:AR,B11,SIMULATION!E:E,TRUE)</f>
        <v/>
      </c>
      <c r="H11" s="52">
        <f>IFERROR(AVERAGEIFS(SIMULATION!U:U,SIMULATION!AR:AR,B11,SIMULATION!U:U,"&gt;"&amp;0),0)</f>
        <v/>
      </c>
      <c r="I11" s="52">
        <f>IFERROR(AVERAGEIFS(SIMULATION!AF:AF,SIMULATION!AR:AR,B11,SIMULATION!AF:AF,"&gt;"&amp;0),0)</f>
        <v/>
      </c>
      <c r="J11" s="49">
        <f>SUMIF(SIMULATION!AR:AR,B11,SIMULATION!AJ:AJ)/1000</f>
        <v/>
      </c>
      <c r="K11" s="49">
        <f>SUMIF(SIMULATION!AR:AR,B11,SIMULATION!AK:AK)</f>
        <v/>
      </c>
      <c r="L11" s="52">
        <f>IFERROR(AVERAGEIFS(SIMULATION!O:O,SIMULATION!AR:AR,B11,SIMULATION!O:O,"&gt;"&amp;0),0)</f>
        <v/>
      </c>
    </row>
    <row r="12">
      <c r="A12" s="47" t="inlineStr">
        <is>
          <t>Sep</t>
        </is>
      </c>
      <c r="B12" s="48" t="n">
        <v>9</v>
      </c>
      <c r="C12" s="49">
        <f>SUMIF(SIMULATION!AR:AR,B12,SIMULATION!AM:AM)/1000</f>
        <v/>
      </c>
      <c r="D12" s="49">
        <f>SUMIF(SIMULATION!AR:AR,B12,SIMULATION!AN:AN)/1000</f>
        <v/>
      </c>
      <c r="E12" s="49">
        <f>SUMIF(SIMULATION!AR:AR,B12,SIMULATION!AO:AO)/1000</f>
        <v/>
      </c>
      <c r="F12" s="50">
        <f>IFERROR(E12/D12,0)</f>
        <v/>
      </c>
      <c r="G12" s="51">
        <f>COUNTIFS(SIMULATION!AR:AR,B12,SIMULATION!E:E,TRUE)</f>
        <v/>
      </c>
      <c r="H12" s="52">
        <f>IFERROR(AVERAGEIFS(SIMULATION!U:U,SIMULATION!AR:AR,B12,SIMULATION!U:U,"&gt;"&amp;0),0)</f>
        <v/>
      </c>
      <c r="I12" s="52">
        <f>IFERROR(AVERAGEIFS(SIMULATION!AF:AF,SIMULATION!AR:AR,B12,SIMULATION!AF:AF,"&gt;"&amp;0),0)</f>
        <v/>
      </c>
      <c r="J12" s="49">
        <f>SUMIF(SIMULATION!AR:AR,B12,SIMULATION!AJ:AJ)/1000</f>
        <v/>
      </c>
      <c r="K12" s="49">
        <f>SUMIF(SIMULATION!AR:AR,B12,SIMULATION!AK:AK)</f>
        <v/>
      </c>
      <c r="L12" s="52">
        <f>IFERROR(AVERAGEIFS(SIMULATION!O:O,SIMULATION!AR:AR,B12,SIMULATION!O:O,"&gt;"&amp;0),0)</f>
        <v/>
      </c>
    </row>
    <row r="13">
      <c r="A13" s="47" t="inlineStr">
        <is>
          <t>Oct</t>
        </is>
      </c>
      <c r="B13" s="48" t="n">
        <v>10</v>
      </c>
      <c r="C13" s="49">
        <f>SUMIF(SIMULATION!AR:AR,B13,SIMULATION!AM:AM)/1000</f>
        <v/>
      </c>
      <c r="D13" s="49">
        <f>SUMIF(SIMULATION!AR:AR,B13,SIMULATION!AN:AN)/1000</f>
        <v/>
      </c>
      <c r="E13" s="49">
        <f>SUMIF(SIMULATION!AR:AR,B13,SIMULATION!AO:AO)/1000</f>
        <v/>
      </c>
      <c r="F13" s="50">
        <f>IFERROR(E13/D13,0)</f>
        <v/>
      </c>
      <c r="G13" s="51">
        <f>COUNTIFS(SIMULATION!AR:AR,B13,SIMULATION!E:E,TRUE)</f>
        <v/>
      </c>
      <c r="H13" s="52">
        <f>IFERROR(AVERAGEIFS(SIMULATION!U:U,SIMULATION!AR:AR,B13,SIMULATION!U:U,"&gt;"&amp;0),0)</f>
        <v/>
      </c>
      <c r="I13" s="52">
        <f>IFERROR(AVERAGEIFS(SIMULATION!AF:AF,SIMULATION!AR:AR,B13,SIMULATION!AF:AF,"&gt;"&amp;0),0)</f>
        <v/>
      </c>
      <c r="J13" s="49">
        <f>SUMIF(SIMULATION!AR:AR,B13,SIMULATION!AJ:AJ)/1000</f>
        <v/>
      </c>
      <c r="K13" s="49">
        <f>SUMIF(SIMULATION!AR:AR,B13,SIMULATION!AK:AK)</f>
        <v/>
      </c>
      <c r="L13" s="52">
        <f>IFERROR(AVERAGEIFS(SIMULATION!O:O,SIMULATION!AR:AR,B13,SIMULATION!O:O,"&gt;"&amp;0),0)</f>
        <v/>
      </c>
    </row>
    <row r="14">
      <c r="A14" s="47" t="inlineStr">
        <is>
          <t>Nov</t>
        </is>
      </c>
      <c r="B14" s="48" t="n">
        <v>11</v>
      </c>
      <c r="C14" s="49">
        <f>SUMIF(SIMULATION!AR:AR,B14,SIMULATION!AM:AM)/1000</f>
        <v/>
      </c>
      <c r="D14" s="49">
        <f>SUMIF(SIMULATION!AR:AR,B14,SIMULATION!AN:AN)/1000</f>
        <v/>
      </c>
      <c r="E14" s="49">
        <f>SUMIF(SIMULATION!AR:AR,B14,SIMULATION!AO:AO)/1000</f>
        <v/>
      </c>
      <c r="F14" s="50">
        <f>IFERROR(E14/D14,0)</f>
        <v/>
      </c>
      <c r="G14" s="51">
        <f>COUNTIFS(SIMULATION!AR:AR,B14,SIMULATION!E:E,TRUE)</f>
        <v/>
      </c>
      <c r="H14" s="52">
        <f>IFERROR(AVERAGEIFS(SIMULATION!U:U,SIMULATION!AR:AR,B14,SIMULATION!U:U,"&gt;"&amp;0),0)</f>
        <v/>
      </c>
      <c r="I14" s="52">
        <f>IFERROR(AVERAGEIFS(SIMULATION!AF:AF,SIMULATION!AR:AR,B14,SIMULATION!AF:AF,"&gt;"&amp;0),0)</f>
        <v/>
      </c>
      <c r="J14" s="49">
        <f>SUMIF(SIMULATION!AR:AR,B14,SIMULATION!AJ:AJ)/1000</f>
        <v/>
      </c>
      <c r="K14" s="49">
        <f>SUMIF(SIMULATION!AR:AR,B14,SIMULATION!AK:AK)</f>
        <v/>
      </c>
      <c r="L14" s="52">
        <f>IFERROR(AVERAGEIFS(SIMULATION!O:O,SIMULATION!AR:AR,B14,SIMULATION!O:O,"&gt;"&amp;0),0)</f>
        <v/>
      </c>
    </row>
    <row r="15">
      <c r="A15" s="47" t="inlineStr">
        <is>
          <t>Dec</t>
        </is>
      </c>
      <c r="B15" s="48" t="n">
        <v>12</v>
      </c>
      <c r="C15" s="49">
        <f>SUMIF(SIMULATION!AR:AR,B15,SIMULATION!AM:AM)/1000</f>
        <v/>
      </c>
      <c r="D15" s="49">
        <f>SUMIF(SIMULATION!AR:AR,B15,SIMULATION!AN:AN)/1000</f>
        <v/>
      </c>
      <c r="E15" s="49">
        <f>SUMIF(SIMULATION!AR:AR,B15,SIMULATION!AO:AO)/1000</f>
        <v/>
      </c>
      <c r="F15" s="50">
        <f>IFERROR(E15/D15,0)</f>
        <v/>
      </c>
      <c r="G15" s="51">
        <f>COUNTIFS(SIMULATION!AR:AR,B15,SIMULATION!E:E,TRUE)</f>
        <v/>
      </c>
      <c r="H15" s="52">
        <f>IFERROR(AVERAGEIFS(SIMULATION!U:U,SIMULATION!AR:AR,B15,SIMULATION!U:U,"&gt;"&amp;0),0)</f>
        <v/>
      </c>
      <c r="I15" s="52">
        <f>IFERROR(AVERAGEIFS(SIMULATION!AF:AF,SIMULATION!AR:AR,B15,SIMULATION!AF:AF,"&gt;"&amp;0),0)</f>
        <v/>
      </c>
      <c r="J15" s="49">
        <f>SUMIF(SIMULATION!AR:AR,B15,SIMULATION!AJ:AJ)/1000</f>
        <v/>
      </c>
      <c r="K15" s="49">
        <f>SUMIF(SIMULATION!AR:AR,B15,SIMULATION!AK:AK)</f>
        <v/>
      </c>
      <c r="L15" s="52">
        <f>IFERROR(AVERAGEIFS(SIMULATION!O:O,SIMULATION!AR:AR,B15,SIMULATION!O:O,"&gt;"&amp;0),0)</f>
        <v/>
      </c>
    </row>
    <row r="16">
      <c r="A16" s="47" t="inlineStr">
        <is>
          <t>TOTAL</t>
        </is>
      </c>
      <c r="C16" s="53">
        <f>SUM(C4:C15)</f>
        <v/>
      </c>
      <c r="D16" s="53">
        <f>SUM(D4:D15)</f>
        <v/>
      </c>
      <c r="E16" s="53">
        <f>SUM(E4:E15)</f>
        <v/>
      </c>
      <c r="F16" s="54">
        <f>IFERROR(E16/D16,0)</f>
        <v/>
      </c>
      <c r="G16" s="55">
        <f>SUM(G4:G15)</f>
        <v/>
      </c>
      <c r="H16" s="56">
        <f>IFERROR(AVERAGEIF(SIMULATION!U:U,"&gt;"+0),0)</f>
        <v/>
      </c>
      <c r="I16" s="56">
        <f>IFERROR(AVERAGEIF(SIMULATION!AF:AF,"&gt;"+0),0)</f>
        <v/>
      </c>
      <c r="J16" s="53">
        <f>SUM(J4:J15)</f>
        <v/>
      </c>
      <c r="K16" s="53">
        <f>SUM(K4:K15)</f>
        <v/>
      </c>
      <c r="L16" s="56">
        <f>IFERROR(AVERAGEIF(SIMULATION!O:O,"&gt;"+0),0)</f>
        <v/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</cols>
  <sheetData>
    <row r="1" ht="28" customHeight="1">
      <c r="A1" s="1" t="inlineStr">
        <is>
          <t>Annual Summary — ACC Adiabatic Relief</t>
        </is>
      </c>
    </row>
    <row r="2">
      <c r="A2" s="2" t="inlineStr">
        <is>
          <t>ENERGY</t>
        </is>
      </c>
    </row>
    <row r="3">
      <c r="A3" s="10" t="inlineStr">
        <is>
          <t>E_adi_MWh</t>
        </is>
      </c>
      <c r="B3" s="57">
        <f>SUM(SIMULATION!AM:AM)/1000</f>
        <v/>
      </c>
      <c r="C3" s="12" t="inlineStr">
        <is>
          <t>Total plant energy — adiabatic mode</t>
        </is>
      </c>
    </row>
    <row r="4">
      <c r="A4" s="10" t="inlineStr">
        <is>
          <t>E_dry_MWh</t>
        </is>
      </c>
      <c r="B4" s="57">
        <f>SUM(SIMULATION!AN:AN)/1000</f>
        <v/>
      </c>
      <c r="C4" s="12" t="inlineStr">
        <is>
          <t>Total plant energy — dry baseline</t>
        </is>
      </c>
    </row>
    <row r="5">
      <c r="A5" s="10" t="inlineStr">
        <is>
          <t>E_saving_MWh</t>
        </is>
      </c>
      <c r="B5" s="57">
        <f>SUM(SIMULATION!AO:AO)/1000</f>
        <v/>
      </c>
      <c r="C5" s="12" t="inlineStr">
        <is>
          <t>Annual energy saving (dry − adiabatic)</t>
        </is>
      </c>
    </row>
    <row r="6">
      <c r="A6" s="10" t="inlineStr">
        <is>
          <t>Saving_%</t>
        </is>
      </c>
      <c r="B6" s="58">
        <f>IFERROR(B5/B4,0)</f>
        <v/>
      </c>
      <c r="C6" s="12" t="inlineStr">
        <is>
          <t>Energy saving as % of dry baseline</t>
        </is>
      </c>
    </row>
    <row r="7">
      <c r="A7" s="2" t="inlineStr">
        <is>
          <t>ADIABATIC OPERATION</t>
        </is>
      </c>
    </row>
    <row r="8">
      <c r="A8" s="10" t="inlineStr">
        <is>
          <t>Adi_hrs</t>
        </is>
      </c>
      <c r="B8" s="59">
        <f>COUNTIF(SIMULATION!E:E,TRUE)</f>
        <v/>
      </c>
      <c r="C8" s="12" t="inlineStr">
        <is>
          <t>Hours pads were active</t>
        </is>
      </c>
    </row>
    <row r="9">
      <c r="A9" s="10" t="inlineStr">
        <is>
          <t>Adi_%_year</t>
        </is>
      </c>
      <c r="B9" s="58">
        <f>IFERROR(B8/8760,0)</f>
        <v/>
      </c>
      <c r="C9" s="12" t="inlineStr">
        <is>
          <t>Fraction of year pads active</t>
        </is>
      </c>
    </row>
    <row r="10">
      <c r="A10" s="2" t="inlineStr">
        <is>
          <t>COP — ADIABATIC MODE</t>
        </is>
      </c>
    </row>
    <row r="11">
      <c r="A11" s="10" t="inlineStr">
        <is>
          <t>Avg_COP_adi</t>
        </is>
      </c>
      <c r="B11" s="60">
        <f>IFERROR(AVERAGEIF(SIMULATION!U:U,"&gt;"&amp;0),0)</f>
        <v/>
      </c>
    </row>
    <row r="12">
      <c r="A12" s="10" t="inlineStr">
        <is>
          <t>Max_COP_adi</t>
        </is>
      </c>
      <c r="B12" s="60">
        <f>IFERROR(MAXIFS(SIMULATION!U:U,SIMULATION!U:U,"&gt;"&amp;0),0)</f>
        <v/>
      </c>
    </row>
    <row r="13">
      <c r="A13" s="10" t="inlineStr">
        <is>
          <t>Min_COP_adi</t>
        </is>
      </c>
      <c r="B13" s="60">
        <f>IFERROR(MINIFS(SIMULATION!U:U,SIMULATION!U:U,"&gt;"&amp;0),0)</f>
        <v/>
      </c>
    </row>
    <row r="14">
      <c r="A14" s="2" t="inlineStr">
        <is>
          <t>COP — DRY BASELINE</t>
        </is>
      </c>
    </row>
    <row r="15">
      <c r="A15" s="10" t="inlineStr">
        <is>
          <t>Avg_COP_dry</t>
        </is>
      </c>
      <c r="B15" s="60">
        <f>IFERROR(AVERAGEIF(SIMULATION!AF:AF,"&gt;"&amp;0),0)</f>
        <v/>
      </c>
    </row>
    <row r="16">
      <c r="A16" s="10" t="inlineStr">
        <is>
          <t>Max_COP_dry</t>
        </is>
      </c>
      <c r="B16" s="60">
        <f>IFERROR(MAXIFS(SIMULATION!AF:AF,SIMULATION!AF:AF,"&gt;"&amp;0),0)</f>
        <v/>
      </c>
    </row>
    <row r="17">
      <c r="A17" s="10" t="inlineStr">
        <is>
          <t>Min_COP_dry</t>
        </is>
      </c>
      <c r="B17" s="60">
        <f>IFERROR(MINIFS(SIMULATION!AF:AF,SIMULATION!AF:AF,"&gt;"&amp;0),0)</f>
        <v/>
      </c>
    </row>
    <row r="18">
      <c r="A18" s="2" t="inlineStr">
        <is>
          <t>LOAD COVERAGE</t>
        </is>
      </c>
    </row>
    <row r="19">
      <c r="A19" s="10" t="inlineStr">
        <is>
          <t>Q_served_MWh</t>
        </is>
      </c>
      <c r="B19" s="57">
        <f>SUM(SIMULATION!AJ:AJ)/1000</f>
        <v/>
      </c>
      <c r="C19" s="12" t="inlineStr">
        <is>
          <t>Total cooling delivered</t>
        </is>
      </c>
    </row>
    <row r="20">
      <c r="A20" s="10" t="inlineStr">
        <is>
          <t>Q_unmet_kWh</t>
        </is>
      </c>
      <c r="B20" s="57">
        <f>SUM(SIMULATION!AK:AK)</f>
        <v/>
      </c>
      <c r="C20" s="12" t="inlineStr">
        <is>
          <t>Total unmet cooling load</t>
        </is>
      </c>
    </row>
    <row r="21">
      <c r="A21" s="10" t="inlineStr">
        <is>
          <t>Overcap_hrs</t>
        </is>
      </c>
      <c r="B21" s="59">
        <f>COUNTIF(SIMULATION!AP:AP,TRUE)</f>
        <v/>
      </c>
      <c r="C21" s="12" t="inlineStr">
        <is>
          <t>Hours chiller was over-capacity</t>
        </is>
      </c>
    </row>
    <row r="22">
      <c r="A22" s="10" t="inlineStr">
        <is>
          <t>LowPLR_hrs</t>
        </is>
      </c>
      <c r="B22" s="59">
        <f>COUNTIF(SIMULATION!AQ:AQ,TRUE)</f>
        <v/>
      </c>
      <c r="C22" s="12" t="inlineStr">
        <is>
          <t>Hours PLR below PLR_MIN threshold</t>
        </is>
      </c>
    </row>
    <row r="23">
      <c r="A23" s="2" t="inlineStr">
        <is>
          <t>VERIFICATION CHECKS</t>
        </is>
      </c>
    </row>
    <row r="24">
      <c r="A24" s="10" t="inlineStr">
        <is>
          <t>T_eff_below_Twb_count</t>
        </is>
      </c>
      <c r="B24" s="59">
        <f>SUMPRODUCT((SIMULATION!F4:F8763&lt;SIMULATION!C4:C8763)*1)</f>
        <v/>
      </c>
      <c r="C24" s="12" t="inlineStr">
        <is>
          <t>Should be 0 — T_odb_eff must not go below T_wb</t>
        </is>
      </c>
    </row>
    <row r="25">
      <c r="A25" s="10" t="inlineStr">
        <is>
          <t>C_NORM_CAP</t>
        </is>
      </c>
      <c r="B25" s="61">
        <f>C_NORM_CAP</f>
        <v/>
      </c>
      <c r="C25" s="12" t="inlineStr">
        <is>
          <t>Capacity curve norm (raw value, pre-division)</t>
        </is>
      </c>
    </row>
    <row r="26">
      <c r="A26" s="10" t="inlineStr">
        <is>
          <t>C_NORM_EIR</t>
        </is>
      </c>
      <c r="B26" s="61">
        <f>C_NORM_EIR</f>
        <v/>
      </c>
      <c r="C26" s="12" t="inlineStr">
        <is>
          <t>EIR temp curve norm</t>
        </is>
      </c>
    </row>
    <row r="27">
      <c r="A27" s="10" t="inlineStr">
        <is>
          <t>C_NORM_PT</t>
        </is>
      </c>
      <c r="B27" s="61">
        <f>C_NORM_PT</f>
        <v/>
      </c>
      <c r="C27" s="12" t="inlineStr">
        <is>
          <t>EIR part-load curve norm</t>
        </is>
      </c>
    </row>
  </sheetData>
  <mergeCells count="7">
    <mergeCell ref="A10:C10"/>
    <mergeCell ref="A1:C1"/>
    <mergeCell ref="A23:C23"/>
    <mergeCell ref="A14:C14"/>
    <mergeCell ref="A18:C18"/>
    <mergeCell ref="A7:C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2026-05-22T00:02:55Z</dcterms:created>
  <dcterms:modified xsi:type="dcterms:W3CDTF">2026-05-22T00:02:55Z</dcterms:modified>
</cp:coreProperties>
</file>